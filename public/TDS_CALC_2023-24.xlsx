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6" windowHeight="7752" activeTab="1"/>
  </bookViews>
  <sheets>
    <sheet name="NAME" sheetId="1" r:id="rId1"/>
    <sheet name="Sheet1" sheetId="2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5" i="1"/>
  <c r="N25" l="1"/>
  <c r="K25"/>
  <c r="J25"/>
  <c r="I25"/>
  <c r="G25"/>
  <c r="E25"/>
  <c r="D25"/>
  <c r="C25"/>
  <c r="P13" l="1"/>
  <c r="P15"/>
  <c r="P17"/>
  <c r="P19"/>
  <c r="P21"/>
  <c r="P14"/>
  <c r="P16"/>
  <c r="P18"/>
  <c r="P20"/>
  <c r="P22"/>
  <c r="P23"/>
  <c r="P24"/>
  <c r="F25"/>
  <c r="H25"/>
  <c r="M25"/>
  <c r="L25"/>
  <c r="P25" l="1"/>
  <c r="P39" l="1"/>
  <c r="P41" s="1"/>
</calcChain>
</file>

<file path=xl/comments1.xml><?xml version="1.0" encoding="utf-8"?>
<comments xmlns="http://schemas.openxmlformats.org/spreadsheetml/2006/main">
  <authors>
    <author>admin</author>
  </authors>
  <commentList>
    <comment ref="P6" authorId="0">
      <text>
        <r>
          <rPr>
            <b/>
            <sz val="9"/>
            <color indexed="81"/>
            <rFont val="Tahoma"/>
            <family val="2"/>
          </rPr>
          <t>DS:</t>
        </r>
        <r>
          <rPr>
            <sz val="9"/>
            <color indexed="81"/>
            <rFont val="Tahoma"/>
            <family val="2"/>
          </rPr>
          <t xml:space="preserve">
NO. OF YEARS COMPLETED AT ANY TIME DURING THE FINANCIAL YEAR 2018-19</t>
        </r>
      </text>
    </comment>
    <comment ref="O7" authorId="0">
      <text>
        <r>
          <rPr>
            <b/>
            <sz val="9"/>
            <color indexed="81"/>
            <rFont val="Tahoma"/>
            <family val="2"/>
          </rPr>
          <t>DS:</t>
        </r>
        <r>
          <rPr>
            <sz val="9"/>
            <color indexed="81"/>
            <rFont val="Tahoma"/>
            <family val="2"/>
          </rPr>
          <t xml:space="preserve">
PAN OF LANDLORD REQUIRED, IF RENT PAID DURING THE YEAR IS MORE THAN 100000.</t>
        </r>
      </text>
    </comment>
  </commentList>
</comments>
</file>

<file path=xl/sharedStrings.xml><?xml version="1.0" encoding="utf-8"?>
<sst xmlns="http://schemas.openxmlformats.org/spreadsheetml/2006/main" count="112" uniqueCount="102">
  <si>
    <t>Note:-</t>
  </si>
  <si>
    <t>NAME</t>
  </si>
  <si>
    <t>PAN</t>
  </si>
  <si>
    <t>PF APPLICABLE (YES/NO)</t>
  </si>
  <si>
    <t>DESIGNATION</t>
  </si>
  <si>
    <t>LOCATION (IN CO.)</t>
  </si>
  <si>
    <t>STAFF CODE</t>
  </si>
  <si>
    <t>AGE (YEARS)</t>
  </si>
  <si>
    <t>ADDRESS</t>
  </si>
  <si>
    <t>LANDLORD'S PAN</t>
  </si>
  <si>
    <t>MONTH</t>
  </si>
  <si>
    <t>BASIC SALARY</t>
  </si>
  <si>
    <t>HOUSE RENT ALLOWANCE</t>
  </si>
  <si>
    <t>CONVEYANCE ALLOWANCE</t>
  </si>
  <si>
    <t>OTHER ALLOWANCES GIVEN</t>
  </si>
  <si>
    <t>ARREAR OF SALARY/ LEAVE SALARY</t>
  </si>
  <si>
    <t>BONUS/GIFT/ INCENTIVE ETC.</t>
  </si>
  <si>
    <t>TOTAL GROSS SALARY</t>
  </si>
  <si>
    <t>EPF 12% OF BASIC SALARY</t>
  </si>
  <si>
    <t>NET SALARY PAID</t>
  </si>
  <si>
    <t>HRA RECD FROM COMPANY</t>
  </si>
  <si>
    <t>RENT PAID BY STAFF</t>
  </si>
  <si>
    <t>HRA EXEMPT</t>
  </si>
  <si>
    <t>PAID</t>
  </si>
  <si>
    <t>EXEMPT</t>
  </si>
  <si>
    <t>TOTAL</t>
  </si>
  <si>
    <t>INVESTMENTS</t>
  </si>
  <si>
    <t xml:space="preserve">DEDUCTION U/S 80 C </t>
  </si>
  <si>
    <t>1. BASIC SALARY</t>
  </si>
  <si>
    <t>PROVIDENT FUND</t>
  </si>
  <si>
    <t>2. HRA RECEIVED</t>
  </si>
  <si>
    <t>DEDUCTION U/S 80 D</t>
  </si>
  <si>
    <t>LESS: EXEMPT</t>
  </si>
  <si>
    <t>DEDUCTION U/S</t>
  </si>
  <si>
    <t>CHILDREN'S TUTION FEES</t>
  </si>
  <si>
    <t>3. CONVEYANCE ALLOWANCE</t>
  </si>
  <si>
    <t>TOTAL DEDUCTIONS</t>
  </si>
  <si>
    <t>NSC PURCHASED</t>
  </si>
  <si>
    <t>NET  INCOME</t>
  </si>
  <si>
    <t>PPF DEPOSIT</t>
  </si>
  <si>
    <t>4. SPL ALLOWANCE</t>
  </si>
  <si>
    <t>5. BONUS &amp; EXGRATIA &amp; INCENTIVE</t>
  </si>
  <si>
    <t xml:space="preserve">TAX PAYBLE </t>
  </si>
  <si>
    <t>REPAYMENT OF HOME LOAN</t>
  </si>
  <si>
    <t>6. ARREAR OF SALARY/ LEAVE SALARY (IF ANY)</t>
  </si>
  <si>
    <t>LESS: REBATE U/S 87A</t>
  </si>
  <si>
    <t>OTHERS (SPECIFY)</t>
  </si>
  <si>
    <t>SALARY INCOME</t>
  </si>
  <si>
    <t xml:space="preserve">TOTAL TAX PAYBLE </t>
  </si>
  <si>
    <t>DEDUCTION U/S 80 D - MEDICLAIM INSURANCE</t>
  </si>
  <si>
    <t>8.INCOME FROM HOUSE PROPERTY</t>
  </si>
  <si>
    <t>TDS DEDUCTED / ADVANCE TAX</t>
  </si>
  <si>
    <t>AMOUNT PAID</t>
  </si>
  <si>
    <t>Interest paid on Home Loan</t>
  </si>
  <si>
    <t>BALANCE TAX PAYABLE</t>
  </si>
  <si>
    <t>FOR SELF OR FAMILY</t>
  </si>
  <si>
    <t>9. OTHER INCOME RECD.</t>
  </si>
  <si>
    <t>NO. OF MONTHS REMAIN IN THIS F.Y.</t>
  </si>
  <si>
    <t>FOR PARENTS</t>
  </si>
  <si>
    <t>AGE</t>
  </si>
  <si>
    <t>GROSS  TOTAL INCOME</t>
  </si>
  <si>
    <t>AVERAGE MONTHLY TDS</t>
  </si>
  <si>
    <t>STAMP DUTY on Home</t>
  </si>
  <si>
    <t>ELSS</t>
  </si>
  <si>
    <t>ADD: SURCHARGE</t>
  </si>
  <si>
    <t>DELHI</t>
  </si>
  <si>
    <t>OTHER</t>
  </si>
  <si>
    <t>YES</t>
  </si>
  <si>
    <t>NO</t>
  </si>
  <si>
    <r>
      <t xml:space="preserve">COMPANY NAME </t>
    </r>
    <r>
      <rPr>
        <b/>
        <sz val="20"/>
        <color indexed="60"/>
        <rFont val="Copperplate Gothic Bold"/>
        <family val="2"/>
      </rPr>
      <t xml:space="preserve">-  </t>
    </r>
    <r>
      <rPr>
        <b/>
        <u/>
        <sz val="20"/>
        <color rgb="FFFFFF00"/>
        <rFont val="Copperplate Gothic Bold"/>
        <family val="2"/>
      </rPr>
      <t>-------------------------------------------------------------------</t>
    </r>
  </si>
  <si>
    <t>SALARIED/ OTHER</t>
  </si>
  <si>
    <t>NET  INCOME (SALARIED/ NON SALARIED)</t>
  </si>
  <si>
    <t>SALARY</t>
  </si>
  <si>
    <t>LIC PAID / Other Life Insurance Premium</t>
  </si>
  <si>
    <t>ADD: EDUCATION + HEALTH CESS 4%</t>
  </si>
  <si>
    <t>7. MEDICAL REIMBURSEMENT</t>
  </si>
  <si>
    <t>8. STANDARD DEDUCTION</t>
  </si>
  <si>
    <t>TDS DEDUCTED</t>
  </si>
  <si>
    <t>MEDICAL REIMBURSEMENT</t>
  </si>
  <si>
    <t>Fill YELLOW HIGHLIGHTED cells only, Please do not change other cells &amp; follow comments.</t>
  </si>
  <si>
    <t>METRO</t>
  </si>
  <si>
    <t>RESIDENCE (METRO/OTHER)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</si>
  <si>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</si>
  <si>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</si>
  <si>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</si>
  <si>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</si>
  <si>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</si>
  <si>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</si>
  <si>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</si>
  <si>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</si>
  <si>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</si>
  <si>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</si>
  <si>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</si>
  <si>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</si>
  <si>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CALCULATION OF INCOME TAX (TDS) FOR THE FY 2023-24, i.e. 01-04-2023 TO 31-03-2024 (AY 2023-24)</t>
  </si>
  <si>
    <t>COMPUTATION FOR FY 2023-2024</t>
  </si>
  <si>
    <t>AVANISH KUMAR GUPTA</t>
  </si>
  <si>
    <t>SR. GENERAL MANAGER</t>
  </si>
  <si>
    <t>REKHI HOUSE-SAL</t>
  </si>
  <si>
    <t xml:space="preserve"> </t>
  </si>
  <si>
    <t>AOLPG9818D</t>
  </si>
  <si>
    <t>RM022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</si>
</sst>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20"/>
      <color indexed="60"/>
      <name val="Copperplate Gothic Bold"/>
      <family val="2"/>
    </font>
    <font>
      <u/>
      <sz val="11"/>
      <color indexed="12"/>
      <name val="Calibri"/>
      <family val="2"/>
    </font>
    <font>
      <b/>
      <sz val="11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indexed="8"/>
      <name val="Calibri"/>
      <family val="2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20"/>
      <color rgb="FFFFFF00"/>
      <name val="Copperplate Gothic Bold"/>
      <family val="2"/>
    </font>
    <font>
      <b/>
      <sz val="20"/>
      <color indexed="60"/>
      <name val="Copperplate Gothic Bold"/>
      <family val="2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color theme="1" tint="4.9989318521683403E-2"/>
      <name val="Calibri"/>
      <family val="2"/>
      <scheme val="minor"/>
    </font>
    <font>
      <b/>
      <u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6" fillId="0" borderId="0"/>
    <xf numFmtId="0" fontId="1" fillId="0" borderId="0"/>
    <xf numFmtId="164" fontId="10" fillId="0" borderId="0" applyFont="0" applyFill="0" applyBorder="0" applyAlignment="0" applyProtection="0"/>
  </cellStyleXfs>
  <cellXfs count="153">
    <xf numFmtId="0" fontId="0" fillId="0" borderId="0" xfId="0"/>
    <xf numFmtId="165" fontId="0" fillId="0" borderId="0" xfId="0" applyNumberFormat="1"/>
    <xf numFmtId="0" fontId="2" fillId="0" borderId="16" xfId="0" applyFont="1" applyFill="1" applyBorder="1" applyProtection="1">
      <protection locked="0" hidden="1"/>
    </xf>
    <xf numFmtId="0" fontId="5" fillId="2" borderId="5" xfId="1" applyFont="1" applyFill="1" applyBorder="1" applyAlignment="1" applyProtection="1">
      <protection locked="0" hidden="1"/>
    </xf>
    <xf numFmtId="0" fontId="6" fillId="2" borderId="6" xfId="1" applyFont="1" applyFill="1" applyBorder="1" applyAlignment="1" applyProtection="1">
      <alignment horizontal="center"/>
      <protection locked="0" hidden="1"/>
    </xf>
    <xf numFmtId="0" fontId="5" fillId="2" borderId="6" xfId="0" applyFont="1" applyFill="1" applyBorder="1" applyProtection="1">
      <protection locked="0" hidden="1"/>
    </xf>
    <xf numFmtId="0" fontId="7" fillId="2" borderId="6" xfId="0" applyFont="1" applyFill="1" applyBorder="1" applyProtection="1">
      <protection locked="0" hidden="1"/>
    </xf>
    <xf numFmtId="0" fontId="5" fillId="2" borderId="6" xfId="0" applyFont="1" applyFill="1" applyBorder="1" applyAlignment="1" applyProtection="1">
      <protection locked="0" hidden="1"/>
    </xf>
    <xf numFmtId="0" fontId="8" fillId="2" borderId="6" xfId="0" applyFont="1" applyFill="1" applyBorder="1" applyProtection="1">
      <protection locked="0" hidden="1"/>
    </xf>
    <xf numFmtId="0" fontId="5" fillId="5" borderId="35" xfId="0" applyFont="1" applyFill="1" applyBorder="1" applyAlignment="1" applyProtection="1">
      <alignment horizontal="center"/>
      <protection locked="0" hidden="1"/>
    </xf>
    <xf numFmtId="0" fontId="5" fillId="2" borderId="5" xfId="0" applyFont="1" applyFill="1" applyBorder="1" applyProtection="1">
      <protection locked="0" hidden="1"/>
    </xf>
    <xf numFmtId="165" fontId="7" fillId="2" borderId="10" xfId="2" applyNumberFormat="1" applyFont="1" applyFill="1" applyBorder="1" applyAlignment="1" applyProtection="1">
      <alignment horizontal="right"/>
      <protection locked="0" hidden="1"/>
    </xf>
    <xf numFmtId="165" fontId="7" fillId="5" borderId="6" xfId="2" applyNumberFormat="1" applyFont="1" applyFill="1" applyBorder="1" applyProtection="1">
      <protection locked="0" hidden="1"/>
    </xf>
    <xf numFmtId="165" fontId="7" fillId="5" borderId="6" xfId="2" applyNumberFormat="1" applyFont="1" applyFill="1" applyBorder="1" applyAlignment="1" applyProtection="1">
      <alignment horizontal="right"/>
      <protection locked="0" hidden="1"/>
    </xf>
    <xf numFmtId="165" fontId="1" fillId="2" borderId="6" xfId="2" applyNumberFormat="1" applyFont="1" applyFill="1" applyBorder="1" applyProtection="1">
      <protection locked="0" hidden="1"/>
    </xf>
    <xf numFmtId="165" fontId="7" fillId="2" borderId="6" xfId="2" applyNumberFormat="1" applyFont="1" applyFill="1" applyBorder="1" applyAlignment="1" applyProtection="1">
      <alignment horizontal="right"/>
      <protection locked="0" hidden="1"/>
    </xf>
    <xf numFmtId="165" fontId="7" fillId="2" borderId="6" xfId="2" applyNumberFormat="1" applyFont="1" applyFill="1" applyBorder="1" applyAlignment="1" applyProtection="1">
      <protection locked="0" hidden="1"/>
    </xf>
    <xf numFmtId="165" fontId="7" fillId="5" borderId="24" xfId="2" applyNumberFormat="1" applyFont="1" applyFill="1" applyBorder="1" applyAlignment="1" applyProtection="1">
      <alignment horizontal="right"/>
      <protection locked="0" hidden="1"/>
    </xf>
    <xf numFmtId="165" fontId="22" fillId="2" borderId="36" xfId="2" applyNumberFormat="1" applyFont="1" applyFill="1" applyBorder="1" applyAlignment="1" applyProtection="1">
      <protection locked="0" hidden="1"/>
    </xf>
    <xf numFmtId="0" fontId="11" fillId="2" borderId="14" xfId="0" applyFont="1" applyFill="1" applyBorder="1" applyAlignment="1" applyProtection="1">
      <protection locked="0" hidden="1"/>
    </xf>
    <xf numFmtId="0" fontId="11" fillId="2" borderId="0" xfId="0" applyFont="1" applyFill="1" applyBorder="1" applyAlignment="1" applyProtection="1">
      <protection locked="0" hidden="1"/>
    </xf>
    <xf numFmtId="0" fontId="7" fillId="2" borderId="15" xfId="0" applyFont="1" applyFill="1" applyBorder="1" applyProtection="1">
      <protection locked="0" hidden="1"/>
    </xf>
    <xf numFmtId="0" fontId="7" fillId="2" borderId="14" xfId="0" applyFont="1" applyFill="1" applyBorder="1" applyAlignment="1" applyProtection="1">
      <protection locked="0" hidden="1"/>
    </xf>
    <xf numFmtId="0" fontId="7" fillId="2" borderId="0" xfId="0" applyFont="1" applyFill="1" applyBorder="1" applyAlignment="1" applyProtection="1">
      <protection locked="0" hidden="1"/>
    </xf>
    <xf numFmtId="0" fontId="7" fillId="2" borderId="0" xfId="0" applyFont="1" applyFill="1" applyBorder="1" applyAlignment="1" applyProtection="1">
      <alignment horizontal="right"/>
      <protection locked="0" hidden="1"/>
    </xf>
    <xf numFmtId="165" fontId="7" fillId="2" borderId="0" xfId="2" applyNumberFormat="1" applyFont="1" applyFill="1" applyBorder="1" applyProtection="1">
      <protection locked="0" hidden="1"/>
    </xf>
    <xf numFmtId="165" fontId="7" fillId="2" borderId="15" xfId="2" applyNumberFormat="1" applyFont="1" applyFill="1" applyBorder="1" applyAlignment="1" applyProtection="1">
      <alignment horizontal="right" shrinkToFit="1"/>
      <protection locked="0" hidden="1"/>
    </xf>
    <xf numFmtId="0" fontId="7" fillId="2" borderId="16" xfId="0" applyFont="1" applyFill="1" applyBorder="1" applyAlignment="1" applyProtection="1">
      <alignment horizontal="left"/>
      <protection locked="0" hidden="1"/>
    </xf>
    <xf numFmtId="0" fontId="7" fillId="2" borderId="0" xfId="0" applyFont="1" applyFill="1" applyBorder="1" applyProtection="1">
      <protection locked="0" hidden="1"/>
    </xf>
    <xf numFmtId="165" fontId="7" fillId="2" borderId="15" xfId="2" applyNumberFormat="1" applyFont="1" applyFill="1" applyBorder="1" applyProtection="1">
      <protection locked="0" hidden="1"/>
    </xf>
    <xf numFmtId="0" fontId="7" fillId="2" borderId="14" xfId="0" applyFont="1" applyFill="1" applyBorder="1" applyAlignment="1" applyProtection="1">
      <alignment horizontal="left"/>
      <protection locked="0" hidden="1"/>
    </xf>
    <xf numFmtId="165" fontId="7" fillId="5" borderId="15" xfId="2" applyNumberFormat="1" applyFont="1" applyFill="1" applyBorder="1" applyAlignment="1" applyProtection="1">
      <alignment horizontal="right"/>
      <protection locked="0" hidden="1"/>
    </xf>
    <xf numFmtId="2" fontId="7" fillId="2" borderId="0" xfId="0" applyNumberFormat="1" applyFont="1" applyFill="1" applyBorder="1" applyProtection="1">
      <protection locked="0" hidden="1"/>
    </xf>
    <xf numFmtId="165" fontId="5" fillId="2" borderId="15" xfId="2" applyNumberFormat="1" applyFont="1" applyFill="1" applyBorder="1" applyAlignment="1" applyProtection="1">
      <alignment horizontal="right"/>
      <protection locked="0" hidden="1"/>
    </xf>
    <xf numFmtId="0" fontId="7" fillId="2" borderId="14" xfId="0" applyFont="1" applyFill="1" applyBorder="1" applyAlignment="1" applyProtection="1">
      <alignment horizontal="left" indent="2"/>
      <protection locked="0" hidden="1"/>
    </xf>
    <xf numFmtId="165" fontId="7" fillId="2" borderId="17" xfId="2" applyNumberFormat="1" applyFont="1" applyFill="1" applyBorder="1" applyProtection="1">
      <protection locked="0" hidden="1"/>
    </xf>
    <xf numFmtId="0" fontId="7" fillId="5" borderId="14" xfId="0" applyFont="1" applyFill="1" applyBorder="1" applyAlignment="1" applyProtection="1">
      <protection locked="0" hidden="1"/>
    </xf>
    <xf numFmtId="165" fontId="7" fillId="5" borderId="17" xfId="2" applyNumberFormat="1" applyFont="1" applyFill="1" applyBorder="1" applyProtection="1">
      <protection locked="0" hidden="1"/>
    </xf>
    <xf numFmtId="0" fontId="7" fillId="2" borderId="0" xfId="0" applyFont="1" applyFill="1" applyBorder="1" applyAlignment="1" applyProtection="1">
      <alignment horizontal="left"/>
      <protection locked="0" hidden="1"/>
    </xf>
    <xf numFmtId="165" fontId="7" fillId="2" borderId="18" xfId="2" applyNumberFormat="1" applyFont="1" applyFill="1" applyBorder="1" applyProtection="1">
      <protection locked="0" hidden="1"/>
    </xf>
    <xf numFmtId="165" fontId="5" fillId="2" borderId="0" xfId="2" applyNumberFormat="1" applyFont="1" applyFill="1" applyBorder="1" applyProtection="1">
      <protection locked="0" hidden="1"/>
    </xf>
    <xf numFmtId="165" fontId="7" fillId="2" borderId="18" xfId="2" applyNumberFormat="1" applyFont="1" applyFill="1" applyBorder="1" applyAlignment="1" applyProtection="1">
      <alignment horizontal="right"/>
      <protection locked="0" hidden="1"/>
    </xf>
    <xf numFmtId="0" fontId="5" fillId="2" borderId="14" xfId="0" applyFont="1" applyFill="1" applyBorder="1" applyAlignment="1" applyProtection="1">
      <alignment horizontal="left"/>
      <protection locked="0" hidden="1"/>
    </xf>
    <xf numFmtId="0" fontId="5" fillId="2" borderId="0" xfId="0" applyFont="1" applyFill="1" applyBorder="1" applyAlignment="1" applyProtection="1">
      <alignment horizontal="left"/>
      <protection locked="0" hidden="1"/>
    </xf>
    <xf numFmtId="165" fontId="5" fillId="2" borderId="15" xfId="2" applyNumberFormat="1" applyFont="1" applyFill="1" applyBorder="1" applyProtection="1">
      <protection locked="0" hidden="1"/>
    </xf>
    <xf numFmtId="0" fontId="7" fillId="2" borderId="0" xfId="0" applyFont="1" applyFill="1" applyBorder="1" applyAlignment="1" applyProtection="1">
      <alignment horizontal="center"/>
      <protection locked="0" hidden="1"/>
    </xf>
    <xf numFmtId="0" fontId="7" fillId="5" borderId="0" xfId="0" applyFont="1" applyFill="1" applyBorder="1" applyProtection="1">
      <protection locked="0" hidden="1"/>
    </xf>
    <xf numFmtId="165" fontId="7" fillId="2" borderId="18" xfId="2" applyNumberFormat="1" applyFont="1" applyFill="1" applyBorder="1" applyAlignment="1" applyProtection="1">
      <alignment horizontal="right" shrinkToFit="1"/>
      <protection locked="0" hidden="1"/>
    </xf>
    <xf numFmtId="165" fontId="7" fillId="2" borderId="15" xfId="2" applyNumberFormat="1" applyFont="1" applyFill="1" applyBorder="1" applyAlignment="1" applyProtection="1">
      <alignment horizontal="right"/>
      <protection locked="0" hidden="1"/>
    </xf>
    <xf numFmtId="165" fontId="5" fillId="2" borderId="19" xfId="2" applyNumberFormat="1" applyFont="1" applyFill="1" applyBorder="1" applyAlignment="1" applyProtection="1">
      <alignment horizontal="right"/>
      <protection locked="0" hidden="1"/>
    </xf>
    <xf numFmtId="0" fontId="5" fillId="2" borderId="14" xfId="0" applyFont="1" applyFill="1" applyBorder="1" applyProtection="1">
      <protection locked="0" hidden="1"/>
    </xf>
    <xf numFmtId="0" fontId="5" fillId="2" borderId="0" xfId="0" applyFont="1" applyFill="1" applyBorder="1" applyAlignment="1" applyProtection="1">
      <protection locked="0" hidden="1"/>
    </xf>
    <xf numFmtId="0" fontId="5" fillId="2" borderId="0" xfId="0" applyFont="1" applyFill="1" applyBorder="1" applyAlignment="1" applyProtection="1">
      <alignment horizontal="right"/>
      <protection locked="0" hidden="1"/>
    </xf>
    <xf numFmtId="0" fontId="13" fillId="2" borderId="14" xfId="0" applyFont="1" applyFill="1" applyBorder="1" applyAlignment="1" applyProtection="1">
      <alignment horizontal="left"/>
      <protection locked="0" hidden="1"/>
    </xf>
    <xf numFmtId="165" fontId="13" fillId="2" borderId="15" xfId="2" applyNumberFormat="1" applyFont="1" applyFill="1" applyBorder="1" applyAlignment="1" applyProtection="1">
      <alignment horizontal="right"/>
      <protection locked="0" hidden="1"/>
    </xf>
    <xf numFmtId="165" fontId="7" fillId="5" borderId="0" xfId="2" applyNumberFormat="1" applyFont="1" applyFill="1" applyBorder="1" applyAlignment="1" applyProtection="1">
      <alignment horizontal="right"/>
      <protection locked="0" hidden="1"/>
    </xf>
    <xf numFmtId="0" fontId="5" fillId="2" borderId="14" xfId="0" applyFont="1" applyFill="1" applyBorder="1" applyAlignment="1" applyProtection="1">
      <protection locked="0" hidden="1"/>
    </xf>
    <xf numFmtId="9" fontId="7" fillId="2" borderId="0" xfId="0" applyNumberFormat="1" applyFont="1" applyFill="1" applyBorder="1" applyAlignment="1" applyProtection="1">
      <protection locked="0" hidden="1"/>
    </xf>
    <xf numFmtId="0" fontId="12" fillId="2" borderId="0" xfId="0" applyFont="1" applyFill="1" applyBorder="1" applyAlignment="1" applyProtection="1">
      <alignment horizontal="right"/>
      <protection locked="0" hidden="1"/>
    </xf>
    <xf numFmtId="165" fontId="7" fillId="5" borderId="17" xfId="2" applyNumberFormat="1" applyFont="1" applyFill="1" applyBorder="1" applyAlignment="1" applyProtection="1">
      <alignment horizontal="right"/>
      <protection locked="0" hidden="1"/>
    </xf>
    <xf numFmtId="165" fontId="7" fillId="5" borderId="15" xfId="2" applyNumberFormat="1" applyFont="1" applyFill="1" applyBorder="1" applyAlignment="1" applyProtection="1">
      <alignment horizontal="right" shrinkToFit="1"/>
      <protection locked="0" hidden="1"/>
    </xf>
    <xf numFmtId="165" fontId="5" fillId="5" borderId="15" xfId="2" applyNumberFormat="1" applyFont="1" applyFill="1" applyBorder="1" applyAlignment="1" applyProtection="1">
      <alignment horizontal="right"/>
      <protection locked="0" hidden="1"/>
    </xf>
    <xf numFmtId="0" fontId="7" fillId="2" borderId="20" xfId="0" applyFont="1" applyFill="1" applyBorder="1" applyAlignment="1" applyProtection="1">
      <protection locked="0" hidden="1"/>
    </xf>
    <xf numFmtId="0" fontId="5" fillId="2" borderId="21" xfId="0" applyFont="1" applyFill="1" applyBorder="1" applyAlignment="1" applyProtection="1">
      <alignment horizontal="right"/>
      <protection locked="0" hidden="1"/>
    </xf>
    <xf numFmtId="0" fontId="12" fillId="2" borderId="21" xfId="0" applyFont="1" applyFill="1" applyBorder="1" applyAlignment="1" applyProtection="1">
      <alignment horizontal="left"/>
      <protection locked="0" hidden="1"/>
    </xf>
    <xf numFmtId="0" fontId="12" fillId="2" borderId="21" xfId="0" applyFont="1" applyFill="1" applyBorder="1" applyAlignment="1" applyProtection="1">
      <alignment horizontal="center"/>
      <protection locked="0" hidden="1"/>
    </xf>
    <xf numFmtId="165" fontId="7" fillId="2" borderId="21" xfId="2" applyNumberFormat="1" applyFont="1" applyFill="1" applyBorder="1" applyProtection="1">
      <protection locked="0" hidden="1"/>
    </xf>
    <xf numFmtId="165" fontId="7" fillId="2" borderId="22" xfId="2" applyNumberFormat="1" applyFont="1" applyFill="1" applyBorder="1" applyAlignment="1" applyProtection="1">
      <alignment horizontal="right"/>
      <protection locked="0" hidden="1"/>
    </xf>
    <xf numFmtId="0" fontId="7" fillId="2" borderId="21" xfId="0" applyFont="1" applyFill="1" applyBorder="1" applyAlignment="1" applyProtection="1">
      <protection locked="0" hidden="1"/>
    </xf>
    <xf numFmtId="165" fontId="14" fillId="2" borderId="22" xfId="2" applyNumberFormat="1" applyFont="1" applyFill="1" applyBorder="1" applyAlignment="1" applyProtection="1">
      <alignment horizontal="right"/>
      <protection locked="0" hidden="1"/>
    </xf>
    <xf numFmtId="0" fontId="8" fillId="2" borderId="27" xfId="0" applyFont="1" applyFill="1" applyBorder="1" applyProtection="1">
      <protection locked="0" hidden="1"/>
    </xf>
    <xf numFmtId="0" fontId="8" fillId="2" borderId="28" xfId="0" applyFont="1" applyFill="1" applyBorder="1" applyProtection="1">
      <protection locked="0" hidden="1"/>
    </xf>
    <xf numFmtId="165" fontId="5" fillId="2" borderId="29" xfId="2" applyNumberFormat="1" applyFont="1" applyFill="1" applyBorder="1" applyAlignment="1" applyProtection="1">
      <alignment horizontal="right"/>
      <protection locked="0" hidden="1"/>
    </xf>
    <xf numFmtId="165" fontId="5" fillId="2" borderId="7" xfId="2" applyNumberFormat="1" applyFont="1" applyFill="1" applyBorder="1" applyAlignment="1" applyProtection="1">
      <alignment horizontal="right"/>
      <protection locked="0" hidden="1"/>
    </xf>
    <xf numFmtId="165" fontId="22" fillId="2" borderId="31" xfId="2" applyNumberFormat="1" applyFont="1" applyFill="1" applyBorder="1" applyAlignment="1" applyProtection="1">
      <protection locked="0" hidden="1"/>
    </xf>
    <xf numFmtId="165" fontId="7" fillId="5" borderId="2" xfId="2" applyNumberFormat="1" applyFont="1" applyFill="1" applyBorder="1" applyProtection="1">
      <protection locked="0" hidden="1"/>
    </xf>
    <xf numFmtId="165" fontId="7" fillId="5" borderId="2" xfId="2" applyNumberFormat="1" applyFont="1" applyFill="1" applyBorder="1" applyAlignment="1" applyProtection="1">
      <alignment horizontal="right"/>
      <protection locked="0" hidden="1"/>
    </xf>
    <xf numFmtId="165" fontId="1" fillId="2" borderId="2" xfId="2" applyNumberFormat="1" applyFont="1" applyFill="1" applyBorder="1" applyProtection="1">
      <protection locked="0" hidden="1"/>
    </xf>
    <xf numFmtId="165" fontId="7" fillId="2" borderId="2" xfId="2" applyNumberFormat="1" applyFont="1" applyFill="1" applyBorder="1" applyAlignment="1" applyProtection="1">
      <alignment horizontal="right"/>
      <protection locked="0" hidden="1"/>
    </xf>
    <xf numFmtId="165" fontId="7" fillId="2" borderId="2" xfId="2" applyNumberFormat="1" applyFont="1" applyFill="1" applyBorder="1" applyAlignment="1" applyProtection="1">
      <protection locked="0" hidden="1"/>
    </xf>
    <xf numFmtId="165" fontId="7" fillId="5" borderId="23" xfId="2" applyNumberFormat="1" applyFont="1" applyFill="1" applyBorder="1" applyAlignment="1" applyProtection="1">
      <alignment horizontal="right"/>
      <protection locked="0" hidden="1"/>
    </xf>
    <xf numFmtId="165" fontId="22" fillId="2" borderId="38" xfId="2" applyNumberFormat="1" applyFont="1" applyFill="1" applyBorder="1" applyAlignment="1" applyProtection="1">
      <protection locked="0" hidden="1"/>
    </xf>
    <xf numFmtId="165" fontId="7" fillId="5" borderId="28" xfId="2" applyNumberFormat="1" applyFont="1" applyFill="1" applyBorder="1" applyProtection="1">
      <protection locked="0" hidden="1"/>
    </xf>
    <xf numFmtId="165" fontId="7" fillId="5" borderId="28" xfId="2" applyNumberFormat="1" applyFont="1" applyFill="1" applyBorder="1" applyAlignment="1" applyProtection="1">
      <alignment horizontal="right"/>
      <protection locked="0" hidden="1"/>
    </xf>
    <xf numFmtId="165" fontId="1" fillId="2" borderId="28" xfId="2" applyNumberFormat="1" applyFont="1" applyFill="1" applyBorder="1" applyProtection="1">
      <protection locked="0" hidden="1"/>
    </xf>
    <xf numFmtId="165" fontId="7" fillId="2" borderId="28" xfId="2" applyNumberFormat="1" applyFont="1" applyFill="1" applyBorder="1" applyAlignment="1" applyProtection="1">
      <alignment horizontal="right"/>
      <protection locked="0" hidden="1"/>
    </xf>
    <xf numFmtId="165" fontId="7" fillId="2" borderId="28" xfId="2" applyNumberFormat="1" applyFont="1" applyFill="1" applyBorder="1" applyAlignment="1" applyProtection="1">
      <protection locked="0" hidden="1"/>
    </xf>
    <xf numFmtId="165" fontId="7" fillId="5" borderId="30" xfId="2" applyNumberFormat="1" applyFont="1" applyFill="1" applyBorder="1" applyAlignment="1" applyProtection="1">
      <alignment horizontal="right"/>
      <protection locked="0" hidden="1"/>
    </xf>
    <xf numFmtId="165" fontId="22" fillId="2" borderId="39" xfId="2" applyNumberFormat="1" applyFont="1" applyFill="1" applyBorder="1" applyAlignment="1" applyProtection="1">
      <protection locked="0" hidden="1"/>
    </xf>
    <xf numFmtId="165" fontId="7" fillId="5" borderId="40" xfId="2" applyNumberFormat="1" applyFont="1" applyFill="1" applyBorder="1" applyProtection="1">
      <protection locked="0" hidden="1"/>
    </xf>
    <xf numFmtId="165" fontId="7" fillId="5" borderId="32" xfId="2" applyNumberFormat="1" applyFont="1" applyFill="1" applyBorder="1" applyProtection="1">
      <protection locked="0" hidden="1"/>
    </xf>
    <xf numFmtId="165" fontId="5" fillId="2" borderId="8" xfId="2" applyNumberFormat="1" applyFont="1" applyFill="1" applyBorder="1" applyAlignment="1" applyProtection="1">
      <alignment horizontal="right"/>
      <protection locked="0" hidden="1"/>
    </xf>
    <xf numFmtId="0" fontId="9" fillId="2" borderId="38" xfId="0" quotePrefix="1" applyFont="1" applyFill="1" applyBorder="1" applyAlignment="1" applyProtection="1">
      <alignment horizontal="center"/>
      <protection locked="0" hidden="1"/>
    </xf>
    <xf numFmtId="0" fontId="9" fillId="2" borderId="36" xfId="0" quotePrefix="1" applyFont="1" applyFill="1" applyBorder="1" applyAlignment="1" applyProtection="1">
      <alignment horizontal="center"/>
      <protection locked="0" hidden="1"/>
    </xf>
    <xf numFmtId="17" fontId="9" fillId="2" borderId="39" xfId="0" quotePrefix="1" applyNumberFormat="1" applyFont="1" applyFill="1" applyBorder="1" applyAlignment="1" applyProtection="1">
      <alignment horizontal="center"/>
      <protection locked="0" hidden="1"/>
    </xf>
    <xf numFmtId="0" fontId="9" fillId="2" borderId="31" xfId="0" applyFont="1" applyFill="1" applyBorder="1" applyAlignment="1" applyProtection="1">
      <alignment horizontal="center"/>
      <protection locked="0" hidden="1"/>
    </xf>
    <xf numFmtId="0" fontId="7" fillId="5" borderId="5" xfId="0" applyFont="1" applyFill="1" applyBorder="1" applyProtection="1">
      <protection locked="0" hidden="1"/>
    </xf>
    <xf numFmtId="2" fontId="7" fillId="5" borderId="35" xfId="2" applyNumberFormat="1" applyFont="1" applyFill="1" applyBorder="1" applyProtection="1">
      <protection locked="0" hidden="1"/>
    </xf>
    <xf numFmtId="0" fontId="7" fillId="5" borderId="27" xfId="0" applyFont="1" applyFill="1" applyBorder="1" applyProtection="1">
      <protection locked="0" hidden="1"/>
    </xf>
    <xf numFmtId="2" fontId="7" fillId="5" borderId="37" xfId="2" applyNumberFormat="1" applyFont="1" applyFill="1" applyBorder="1" applyProtection="1">
      <protection locked="0" hidden="1"/>
    </xf>
    <xf numFmtId="0" fontId="5" fillId="2" borderId="1" xfId="0" applyFont="1" applyFill="1" applyBorder="1" applyAlignment="1" applyProtection="1">
      <alignment horizontal="center"/>
      <protection locked="0" hidden="1"/>
    </xf>
    <xf numFmtId="0" fontId="5" fillId="2" borderId="42" xfId="0" applyFont="1" applyFill="1" applyBorder="1" applyAlignment="1" applyProtection="1">
      <alignment horizontal="right"/>
      <protection locked="0" hidden="1"/>
    </xf>
    <xf numFmtId="0" fontId="5" fillId="5" borderId="6" xfId="0" applyFont="1" applyFill="1" applyBorder="1" applyAlignment="1" applyProtection="1">
      <alignment horizontal="center"/>
      <protection locked="0" hidden="1"/>
    </xf>
    <xf numFmtId="0" fontId="2" fillId="0" borderId="33" xfId="0" applyFont="1" applyFill="1" applyBorder="1" applyAlignment="1" applyProtection="1">
      <alignment horizontal="left"/>
      <protection locked="0" hidden="1"/>
    </xf>
    <xf numFmtId="0" fontId="2" fillId="0" borderId="34" xfId="0" applyFont="1" applyFill="1" applyBorder="1" applyAlignment="1" applyProtection="1">
      <alignment horizontal="left"/>
      <protection locked="0" hidden="1"/>
    </xf>
    <xf numFmtId="0" fontId="0" fillId="4" borderId="0" xfId="0" applyFill="1" applyAlignment="1">
      <alignment horizontal="center"/>
    </xf>
    <xf numFmtId="0" fontId="7" fillId="4" borderId="0" xfId="0" applyFont="1" applyFill="1" applyAlignment="1" applyProtection="1">
      <alignment horizontal="center"/>
      <protection locked="0"/>
    </xf>
    <xf numFmtId="0" fontId="0" fillId="4" borderId="14" xfId="0" applyFill="1" applyBorder="1" applyAlignment="1">
      <alignment horizontal="center"/>
    </xf>
    <xf numFmtId="0" fontId="23" fillId="0" borderId="11" xfId="0" applyFont="1" applyFill="1" applyBorder="1" applyAlignment="1" applyProtection="1">
      <alignment horizontal="center"/>
      <protection locked="0" hidden="1"/>
    </xf>
    <xf numFmtId="0" fontId="23" fillId="0" borderId="12" xfId="0" applyFont="1" applyFill="1" applyBorder="1" applyAlignment="1" applyProtection="1">
      <alignment horizontal="center"/>
      <protection locked="0" hidden="1"/>
    </xf>
    <xf numFmtId="0" fontId="23" fillId="0" borderId="13" xfId="0" applyFont="1" applyFill="1" applyBorder="1" applyAlignment="1" applyProtection="1">
      <alignment horizontal="center"/>
      <protection locked="0" hidden="1"/>
    </xf>
    <xf numFmtId="0" fontId="23" fillId="0" borderId="21" xfId="0" applyFont="1" applyFill="1" applyBorder="1" applyAlignment="1" applyProtection="1">
      <alignment horizontal="center"/>
      <protection locked="0" hidden="1"/>
    </xf>
    <xf numFmtId="0" fontId="23" fillId="0" borderId="22" xfId="0" applyFont="1" applyFill="1" applyBorder="1" applyAlignment="1" applyProtection="1">
      <alignment horizontal="center"/>
      <protection locked="0" hidden="1"/>
    </xf>
    <xf numFmtId="0" fontId="5" fillId="2" borderId="6" xfId="0" applyFont="1" applyFill="1" applyBorder="1" applyAlignment="1" applyProtection="1">
      <alignment horizontal="center" vertical="center" wrapText="1"/>
      <protection locked="0" hidden="1"/>
    </xf>
    <xf numFmtId="0" fontId="5" fillId="2" borderId="28" xfId="0" applyFont="1" applyFill="1" applyBorder="1" applyAlignment="1" applyProtection="1">
      <alignment horizontal="center" vertical="center" wrapText="1"/>
      <protection locked="0" hidden="1"/>
    </xf>
    <xf numFmtId="0" fontId="5" fillId="2" borderId="9" xfId="0" applyFont="1" applyFill="1" applyBorder="1" applyAlignment="1" applyProtection="1">
      <alignment horizontal="center" vertical="center" wrapText="1"/>
      <protection locked="0" hidden="1"/>
    </xf>
    <xf numFmtId="0" fontId="5" fillId="2" borderId="29" xfId="0" applyFont="1" applyFill="1" applyBorder="1" applyAlignment="1" applyProtection="1">
      <alignment horizontal="center" vertical="center" wrapText="1"/>
      <protection locked="0" hidden="1"/>
    </xf>
    <xf numFmtId="0" fontId="5" fillId="2" borderId="2" xfId="0" applyFont="1" applyFill="1" applyBorder="1" applyAlignment="1" applyProtection="1">
      <alignment horizontal="center" vertical="center" wrapText="1"/>
      <protection locked="0" hidden="1"/>
    </xf>
    <xf numFmtId="0" fontId="5" fillId="2" borderId="23" xfId="0" applyFont="1" applyFill="1" applyBorder="1" applyAlignment="1" applyProtection="1">
      <alignment horizontal="center" vertical="center" wrapText="1"/>
      <protection locked="0" hidden="1"/>
    </xf>
    <xf numFmtId="0" fontId="5" fillId="2" borderId="24" xfId="0" applyFont="1" applyFill="1" applyBorder="1" applyAlignment="1" applyProtection="1">
      <alignment horizontal="center" vertical="center" wrapText="1"/>
      <protection locked="0" hidden="1"/>
    </xf>
    <xf numFmtId="0" fontId="5" fillId="2" borderId="30" xfId="0" applyFont="1" applyFill="1" applyBorder="1" applyAlignment="1" applyProtection="1">
      <alignment horizontal="center" vertical="center" wrapText="1"/>
      <protection locked="0" hidden="1"/>
    </xf>
    <xf numFmtId="0" fontId="21" fillId="2" borderId="2" xfId="0" applyFont="1" applyFill="1" applyBorder="1" applyAlignment="1" applyProtection="1">
      <alignment horizontal="center" vertical="center" wrapText="1"/>
      <protection locked="0" hidden="1"/>
    </xf>
    <xf numFmtId="0" fontId="21" fillId="2" borderId="6" xfId="0" applyFont="1" applyFill="1" applyBorder="1" applyAlignment="1" applyProtection="1">
      <alignment horizontal="center" vertical="center" wrapText="1"/>
      <protection locked="0" hidden="1"/>
    </xf>
    <xf numFmtId="0" fontId="21" fillId="2" borderId="28" xfId="0" applyFont="1" applyFill="1" applyBorder="1" applyAlignment="1" applyProtection="1">
      <alignment horizontal="center" vertical="center" wrapText="1"/>
      <protection locked="0" hidden="1"/>
    </xf>
    <xf numFmtId="0" fontId="13" fillId="2" borderId="25" xfId="0" applyFont="1" applyFill="1" applyBorder="1" applyAlignment="1" applyProtection="1">
      <alignment horizontal="center" vertical="center" wrapText="1"/>
      <protection locked="0" hidden="1"/>
    </xf>
    <xf numFmtId="0" fontId="13" fillId="2" borderId="26" xfId="0" applyFont="1" applyFill="1" applyBorder="1" applyAlignment="1" applyProtection="1">
      <alignment horizontal="center" vertical="center" wrapText="1"/>
      <protection locked="0" hidden="1"/>
    </xf>
    <xf numFmtId="0" fontId="13" fillId="2" borderId="31" xfId="0" applyFont="1" applyFill="1" applyBorder="1" applyAlignment="1" applyProtection="1">
      <alignment horizontal="center" vertical="center" wrapText="1"/>
      <protection locked="0" hidden="1"/>
    </xf>
    <xf numFmtId="0" fontId="5" fillId="5" borderId="28" xfId="0" applyFont="1" applyFill="1" applyBorder="1" applyAlignment="1" applyProtection="1">
      <alignment horizontal="left" vertical="center"/>
      <protection locked="0" hidden="1"/>
    </xf>
    <xf numFmtId="0" fontId="5" fillId="2" borderId="28" xfId="0" applyFont="1" applyFill="1" applyBorder="1" applyAlignment="1" applyProtection="1">
      <alignment horizontal="left" vertical="center"/>
      <protection locked="0" hidden="1"/>
    </xf>
    <xf numFmtId="0" fontId="5" fillId="5" borderId="28" xfId="0" applyFont="1" applyFill="1" applyBorder="1" applyAlignment="1" applyProtection="1">
      <alignment horizontal="right" vertical="center"/>
      <protection locked="0" hidden="1"/>
    </xf>
    <xf numFmtId="0" fontId="5" fillId="5" borderId="37" xfId="0" applyFont="1" applyFill="1" applyBorder="1" applyAlignment="1" applyProtection="1">
      <alignment horizontal="right" vertical="center"/>
      <protection locked="0" hidden="1"/>
    </xf>
    <xf numFmtId="0" fontId="24" fillId="0" borderId="14" xfId="0" applyFont="1" applyFill="1" applyBorder="1" applyAlignment="1" applyProtection="1">
      <alignment horizontal="center"/>
      <protection locked="0" hidden="1"/>
    </xf>
    <xf numFmtId="0" fontId="24" fillId="0" borderId="0" xfId="0" applyFont="1" applyFill="1" applyBorder="1" applyAlignment="1" applyProtection="1">
      <alignment horizontal="center"/>
      <protection locked="0" hidden="1"/>
    </xf>
    <xf numFmtId="0" fontId="24" fillId="0" borderId="15" xfId="0" applyFont="1" applyFill="1" applyBorder="1" applyAlignment="1" applyProtection="1">
      <alignment horizontal="center"/>
      <protection locked="0" hidden="1"/>
    </xf>
    <xf numFmtId="0" fontId="5" fillId="2" borderId="38" xfId="0" applyFont="1" applyFill="1" applyBorder="1" applyAlignment="1" applyProtection="1">
      <alignment horizontal="center" vertical="center" wrapText="1"/>
      <protection locked="0" hidden="1"/>
    </xf>
    <xf numFmtId="0" fontId="5" fillId="2" borderId="36" xfId="0" applyFont="1" applyFill="1" applyBorder="1" applyAlignment="1" applyProtection="1">
      <alignment horizontal="center" vertical="center" wrapText="1"/>
      <protection locked="0" hidden="1"/>
    </xf>
    <xf numFmtId="0" fontId="5" fillId="2" borderId="39" xfId="0" applyFont="1" applyFill="1" applyBorder="1" applyAlignment="1" applyProtection="1">
      <alignment horizontal="center" vertical="center" wrapText="1"/>
      <protection locked="0" hidden="1"/>
    </xf>
    <xf numFmtId="0" fontId="5" fillId="2" borderId="40" xfId="0" applyFont="1" applyFill="1" applyBorder="1" applyAlignment="1" applyProtection="1">
      <alignment horizontal="center" vertical="center" wrapText="1"/>
      <protection locked="0" hidden="1"/>
    </xf>
    <xf numFmtId="0" fontId="5" fillId="2" borderId="32" xfId="0" applyFont="1" applyFill="1" applyBorder="1" applyAlignment="1" applyProtection="1">
      <alignment horizontal="center" vertical="center" wrapText="1"/>
      <protection locked="0" hidden="1"/>
    </xf>
    <xf numFmtId="0" fontId="5" fillId="2" borderId="41" xfId="0" applyFont="1" applyFill="1" applyBorder="1" applyAlignment="1" applyProtection="1">
      <alignment horizontal="center" vertical="center" wrapText="1"/>
      <protection locked="0" hidden="1"/>
    </xf>
    <xf numFmtId="0" fontId="5" fillId="2" borderId="3" xfId="0" applyFont="1" applyFill="1" applyBorder="1" applyAlignment="1" applyProtection="1">
      <alignment horizontal="center" vertical="center" wrapText="1"/>
      <protection locked="0" hidden="1"/>
    </xf>
    <xf numFmtId="0" fontId="5" fillId="2" borderId="4" xfId="0" applyFont="1" applyFill="1" applyBorder="1" applyAlignment="1" applyProtection="1">
      <alignment horizontal="center" vertical="center" wrapText="1"/>
      <protection locked="0" hidden="1"/>
    </xf>
    <xf numFmtId="0" fontId="5" fillId="2" borderId="7" xfId="0" applyFont="1" applyFill="1" applyBorder="1" applyAlignment="1" applyProtection="1">
      <alignment horizontal="center" vertical="center" wrapText="1"/>
      <protection locked="0" hidden="1"/>
    </xf>
    <xf numFmtId="0" fontId="5" fillId="2" borderId="8" xfId="0" applyFont="1" applyFill="1" applyBorder="1" applyAlignment="1" applyProtection="1">
      <alignment horizontal="center" vertical="center" wrapText="1"/>
      <protection locked="0" hidden="1"/>
    </xf>
    <xf numFmtId="0" fontId="3" fillId="5" borderId="16" xfId="0" applyFont="1" applyFill="1" applyBorder="1" applyAlignment="1" applyProtection="1">
      <alignment horizontal="center"/>
      <protection locked="0" hidden="1"/>
    </xf>
    <xf numFmtId="0" fontId="3" fillId="5" borderId="33" xfId="0" applyFont="1" applyFill="1" applyBorder="1" applyAlignment="1" applyProtection="1">
      <alignment horizontal="center"/>
      <protection locked="0" hidden="1"/>
    </xf>
    <xf numFmtId="0" fontId="3" fillId="5" borderId="34" xfId="0" applyFont="1" applyFill="1" applyBorder="1" applyAlignment="1" applyProtection="1">
      <alignment horizontal="center"/>
      <protection locked="0" hidden="1"/>
    </xf>
    <xf numFmtId="0" fontId="5" fillId="5" borderId="6" xfId="0" applyFont="1" applyFill="1" applyBorder="1" applyAlignment="1" applyProtection="1">
      <alignment horizontal="left"/>
      <protection locked="0" hidden="1"/>
    </xf>
    <xf numFmtId="0" fontId="5" fillId="5" borderId="6" xfId="0" applyFont="1" applyFill="1" applyBorder="1" applyAlignment="1" applyProtection="1">
      <alignment horizontal="right"/>
      <protection locked="0" hidden="1"/>
    </xf>
    <xf numFmtId="0" fontId="5" fillId="5" borderId="6" xfId="0" applyFont="1" applyFill="1" applyBorder="1" applyAlignment="1" applyProtection="1">
      <protection locked="0" hidden="1"/>
    </xf>
    <xf numFmtId="0" fontId="8" fillId="5" borderId="6" xfId="0" applyFont="1" applyFill="1" applyBorder="1" applyAlignment="1" applyProtection="1">
      <alignment horizontal="right"/>
      <protection locked="0" hidden="1"/>
    </xf>
    <xf numFmtId="0" fontId="7" fillId="3" borderId="24" xfId="0" applyFont="1" applyFill="1" applyBorder="1" applyAlignment="1" applyProtection="1">
      <alignment horizontal="center"/>
      <protection locked="0" hidden="1"/>
    </xf>
    <xf numFmtId="0" fontId="7" fillId="3" borderId="32" xfId="0" applyFont="1" applyFill="1" applyBorder="1" applyAlignment="1" applyProtection="1">
      <alignment horizontal="center"/>
      <protection locked="0" hidden="1"/>
    </xf>
  </cellXfs>
  <cellStyles count="9">
    <cellStyle name="Comma 2" xfId="2"/>
    <cellStyle name="Comma 2 2" xfId="4"/>
    <cellStyle name="Comma 2 3" xfId="8"/>
    <cellStyle name="Comma 2 4" xfId="3"/>
    <cellStyle name="Comma 3" xfId="5"/>
    <cellStyle name="Hyperlink" xfId="1" builtinId="8"/>
    <cellStyle name="Normal" xfId="0" builtinId="0"/>
    <cellStyle name="Normal 2" xfId="6"/>
    <cellStyle name="Normal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42"/>
  <sheetViews>
    <sheetView zoomScale="80" zoomScaleNormal="80" zoomScaleSheetLayoutView="70" workbookViewId="0">
      <selection activeCell="F26" sqref="F26:P26"/>
    </sheetView>
  </sheetViews>
  <sheetFormatPr defaultRowHeight="14.4"/>
  <cols>
    <col min="1" max="1" width="3.33203125" customWidth="1"/>
    <col min="2" max="2" width="13.109375" customWidth="1"/>
    <col min="3" max="3" width="15.5546875" customWidth="1"/>
    <col min="4" max="4" width="16.5546875" customWidth="1"/>
    <col min="5" max="5" width="14.88671875" customWidth="1"/>
    <col min="6" max="6" width="14.44140625" customWidth="1"/>
    <col min="7" max="7" width="13.109375" customWidth="1"/>
    <col min="8" max="8" width="10.5546875" customWidth="1"/>
    <col min="9" max="9" width="15.88671875" customWidth="1"/>
    <col min="10" max="10" width="14.109375" customWidth="1"/>
    <col min="11" max="11" width="15.44140625" customWidth="1"/>
    <col min="12" max="12" width="15.88671875" customWidth="1"/>
    <col min="13" max="13" width="14" customWidth="1"/>
    <col min="14" max="14" width="16.5546875" customWidth="1"/>
    <col min="15" max="15" width="14" customWidth="1"/>
    <col min="16" max="16" width="18.33203125" customWidth="1"/>
    <col min="17" max="17" width="3.33203125" customWidth="1"/>
    <col min="29" max="29" width="9.109375" hidden="1" customWidth="1"/>
  </cols>
  <sheetData>
    <row r="1" spans="1:29" ht="15" thickBo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</row>
    <row r="2" spans="1:29" ht="24" thickBot="1">
      <c r="A2" s="105"/>
      <c r="B2" s="2" t="s">
        <v>0</v>
      </c>
      <c r="C2" s="103" t="s">
        <v>79</v>
      </c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4"/>
      <c r="Q2" s="107"/>
      <c r="AC2" t="s">
        <v>65</v>
      </c>
    </row>
    <row r="3" spans="1:29" ht="24.6">
      <c r="A3" s="105"/>
      <c r="B3" s="144" t="s">
        <v>69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6"/>
      <c r="Q3" s="107"/>
      <c r="AC3" t="s">
        <v>66</v>
      </c>
    </row>
    <row r="4" spans="1:29">
      <c r="A4" s="105"/>
      <c r="B4" s="3" t="s">
        <v>1</v>
      </c>
      <c r="C4" s="4"/>
      <c r="D4" s="147" t="s">
        <v>96</v>
      </c>
      <c r="E4" s="147"/>
      <c r="F4" s="147"/>
      <c r="G4" s="147"/>
      <c r="H4" s="5" t="s">
        <v>2</v>
      </c>
      <c r="I4" s="6"/>
      <c r="J4" s="148" t="s">
        <v>100</v>
      </c>
      <c r="K4" s="148"/>
      <c r="L4" s="148"/>
      <c r="M4" s="7" t="s">
        <v>3</v>
      </c>
      <c r="N4" s="7"/>
      <c r="O4" s="8" t="s">
        <v>68</v>
      </c>
      <c r="P4" s="9" t="s">
        <v>67</v>
      </c>
      <c r="Q4" s="107"/>
    </row>
    <row r="5" spans="1:29">
      <c r="A5" s="105"/>
      <c r="B5" s="3" t="s">
        <v>4</v>
      </c>
      <c r="C5" s="4"/>
      <c r="D5" s="147" t="s">
        <v>97</v>
      </c>
      <c r="E5" s="147"/>
      <c r="F5" s="147"/>
      <c r="G5" s="147"/>
      <c r="H5" s="8" t="s">
        <v>70</v>
      </c>
      <c r="I5" s="8"/>
      <c r="J5" s="102" t="s">
        <v>72</v>
      </c>
      <c r="K5" s="151"/>
      <c r="L5" s="152"/>
      <c r="M5" s="5" t="s">
        <v>81</v>
      </c>
      <c r="N5" s="5"/>
      <c r="O5" s="5" t="s">
        <v>80</v>
      </c>
      <c r="P5" s="9" t="s">
        <v>80</v>
      </c>
      <c r="Q5" s="107"/>
      <c r="AC5" t="s">
        <v>67</v>
      </c>
    </row>
    <row r="6" spans="1:29">
      <c r="A6" s="105"/>
      <c r="B6" s="10" t="s">
        <v>5</v>
      </c>
      <c r="C6" s="8"/>
      <c r="D6" s="149" t="s">
        <v>98</v>
      </c>
      <c r="E6" s="149"/>
      <c r="F6" s="149"/>
      <c r="G6" s="149"/>
      <c r="H6" s="8" t="s">
        <v>6</v>
      </c>
      <c r="I6" s="8"/>
      <c r="J6" s="150" t="s">
        <v>101</v>
      </c>
      <c r="K6" s="150"/>
      <c r="L6" s="150"/>
      <c r="M6" s="5" t="s">
        <v>7</v>
      </c>
      <c r="N6" s="5"/>
      <c r="O6" s="5">
        <v>40</v>
      </c>
      <c r="P6" s="9"/>
      <c r="Q6" s="107"/>
      <c r="AC6" t="s">
        <v>68</v>
      </c>
    </row>
    <row r="7" spans="1:29" ht="15" thickBot="1">
      <c r="A7" s="105"/>
      <c r="B7" s="70" t="s">
        <v>8</v>
      </c>
      <c r="C7" s="71"/>
      <c r="D7" s="127" t="s">
        <v>99</v>
      </c>
      <c r="E7" s="127"/>
      <c r="F7" s="127"/>
      <c r="G7" s="127"/>
      <c r="H7" s="127"/>
      <c r="I7" s="127"/>
      <c r="J7" s="127"/>
      <c r="K7" s="127"/>
      <c r="L7" s="127"/>
      <c r="M7" s="128" t="s">
        <v>9</v>
      </c>
      <c r="N7" s="128"/>
      <c r="O7" s="129"/>
      <c r="P7" s="130"/>
      <c r="Q7" s="107"/>
    </row>
    <row r="8" spans="1:29" ht="16.2" thickBot="1">
      <c r="A8" s="105"/>
      <c r="B8" s="131" t="s">
        <v>94</v>
      </c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3"/>
      <c r="Q8" s="107"/>
    </row>
    <row r="9" spans="1:29" ht="15" customHeight="1">
      <c r="A9" s="105"/>
      <c r="B9" s="134" t="s">
        <v>10</v>
      </c>
      <c r="C9" s="137" t="s">
        <v>11</v>
      </c>
      <c r="D9" s="117" t="s">
        <v>12</v>
      </c>
      <c r="E9" s="117"/>
      <c r="F9" s="117"/>
      <c r="G9" s="140" t="s">
        <v>13</v>
      </c>
      <c r="H9" s="141"/>
      <c r="I9" s="121" t="s">
        <v>14</v>
      </c>
      <c r="J9" s="117" t="s">
        <v>15</v>
      </c>
      <c r="K9" s="117" t="s">
        <v>16</v>
      </c>
      <c r="L9" s="117" t="s">
        <v>17</v>
      </c>
      <c r="M9" s="117" t="s">
        <v>18</v>
      </c>
      <c r="N9" s="118" t="s">
        <v>77</v>
      </c>
      <c r="O9" s="121" t="s">
        <v>78</v>
      </c>
      <c r="P9" s="124" t="s">
        <v>19</v>
      </c>
      <c r="Q9" s="107"/>
    </row>
    <row r="10" spans="1:29" ht="15" thickBot="1">
      <c r="A10" s="105"/>
      <c r="B10" s="135"/>
      <c r="C10" s="138"/>
      <c r="D10" s="113" t="s">
        <v>20</v>
      </c>
      <c r="E10" s="113" t="s">
        <v>21</v>
      </c>
      <c r="F10" s="113" t="s">
        <v>22</v>
      </c>
      <c r="G10" s="142"/>
      <c r="H10" s="143"/>
      <c r="I10" s="122"/>
      <c r="J10" s="113"/>
      <c r="K10" s="113"/>
      <c r="L10" s="113"/>
      <c r="M10" s="113"/>
      <c r="N10" s="119"/>
      <c r="O10" s="122"/>
      <c r="P10" s="125"/>
      <c r="Q10" s="107"/>
    </row>
    <row r="11" spans="1:29">
      <c r="A11" s="105"/>
      <c r="B11" s="135"/>
      <c r="C11" s="138"/>
      <c r="D11" s="113"/>
      <c r="E11" s="113"/>
      <c r="F11" s="113"/>
      <c r="G11" s="115" t="s">
        <v>23</v>
      </c>
      <c r="H11" s="115" t="s">
        <v>24</v>
      </c>
      <c r="I11" s="122"/>
      <c r="J11" s="113"/>
      <c r="K11" s="113"/>
      <c r="L11" s="113"/>
      <c r="M11" s="113"/>
      <c r="N11" s="119"/>
      <c r="O11" s="122"/>
      <c r="P11" s="125"/>
      <c r="Q11" s="107"/>
    </row>
    <row r="12" spans="1:29" ht="15" thickBot="1">
      <c r="A12" s="105"/>
      <c r="B12" s="136"/>
      <c r="C12" s="139"/>
      <c r="D12" s="114"/>
      <c r="E12" s="114"/>
      <c r="F12" s="114"/>
      <c r="G12" s="116"/>
      <c r="H12" s="116"/>
      <c r="I12" s="123"/>
      <c r="J12" s="114"/>
      <c r="K12" s="114"/>
      <c r="L12" s="114"/>
      <c r="M12" s="114"/>
      <c r="N12" s="120"/>
      <c r="O12" s="123"/>
      <c r="P12" s="126"/>
      <c r="Q12" s="107"/>
    </row>
    <row r="13" spans="1:29" ht="15.6">
      <c r="A13" s="105"/>
      <c r="B13" s="92" t="s">
        <v>82</v>
      </c>
      <c r="C13" s="89">
        <v>67500</v>
      </c>
      <c r="D13" s="75">
        <v>47250</v>
      </c>
      <c r="E13" s="76">
        <v>0</v>
      </c>
      <c r="F13" s="77">
        <v>0</v>
      </c>
      <c r="G13" s="75">
        <v>20250</v>
      </c>
      <c r="H13" s="78"/>
      <c r="I13" s="75">
        <v>0</v>
      </c>
      <c r="J13" s="75">
        <v>0</v>
      </c>
      <c r="K13" s="76">
        <v>0</v>
      </c>
      <c r="L13" s="79">
        <v>135000</v>
      </c>
      <c r="M13" s="79">
        <v>0</v>
      </c>
      <c r="N13" s="80">
        <v>0</v>
      </c>
      <c r="O13" s="75"/>
      <c r="P13" s="81">
        <f t="shared" ref="P13:P24" si="0">+L13-M13-N13</f>
        <v>135000</v>
      </c>
      <c r="Q13" s="107"/>
    </row>
    <row r="14" spans="1:29" ht="15.6">
      <c r="A14" s="105"/>
      <c r="B14" s="93" t="s">
        <v>83</v>
      </c>
      <c r="C14" s="90">
        <v>67500</v>
      </c>
      <c r="D14" s="12">
        <v>47250</v>
      </c>
      <c r="E14" s="13">
        <v>0</v>
      </c>
      <c r="F14" s="14">
        <v>0</v>
      </c>
      <c r="G14" s="12">
        <v>20250</v>
      </c>
      <c r="H14" s="15"/>
      <c r="I14" s="12">
        <v>0</v>
      </c>
      <c r="J14" s="12">
        <v>0</v>
      </c>
      <c r="K14" s="13">
        <v>0</v>
      </c>
      <c r="L14" s="16">
        <v>135000</v>
      </c>
      <c r="M14" s="16">
        <v>0</v>
      </c>
      <c r="N14" s="17">
        <v>15000</v>
      </c>
      <c r="O14" s="12"/>
      <c r="P14" s="18">
        <f t="shared" si="0"/>
        <v>120000</v>
      </c>
      <c r="Q14" s="107"/>
    </row>
    <row r="15" spans="1:29" ht="15.6">
      <c r="A15" s="105"/>
      <c r="B15" s="93" t="s">
        <v>84</v>
      </c>
      <c r="C15" s="90">
        <v>67500</v>
      </c>
      <c r="D15" s="12">
        <v>47250</v>
      </c>
      <c r="E15" s="13">
        <v>0</v>
      </c>
      <c r="F15" s="14">
        <v>0</v>
      </c>
      <c r="G15" s="12">
        <v>20250</v>
      </c>
      <c r="H15" s="15"/>
      <c r="I15" s="12">
        <v>0</v>
      </c>
      <c r="J15" s="12">
        <v>0</v>
      </c>
      <c r="K15" s="13">
        <v>0</v>
      </c>
      <c r="L15" s="16">
        <v>135000</v>
      </c>
      <c r="M15" s="16">
        <v>0</v>
      </c>
      <c r="N15" s="17">
        <v>15000</v>
      </c>
      <c r="O15" s="12"/>
      <c r="P15" s="18">
        <f t="shared" si="0"/>
        <v>120000</v>
      </c>
      <c r="Q15" s="107"/>
    </row>
    <row r="16" spans="1:29" ht="15.6">
      <c r="A16" s="105"/>
      <c r="B16" s="93" t="s">
        <v>85</v>
      </c>
      <c r="C16" s="90">
        <v>75000</v>
      </c>
      <c r="D16" s="12">
        <v>47250</v>
      </c>
      <c r="E16" s="13">
        <v>0</v>
      </c>
      <c r="F16" s="14">
        <v>0</v>
      </c>
      <c r="G16" s="12">
        <v>27750</v>
      </c>
      <c r="H16" s="15"/>
      <c r="I16" s="12">
        <v>0</v>
      </c>
      <c r="J16" s="12">
        <v>30000</v>
      </c>
      <c r="K16" s="13">
        <v>0</v>
      </c>
      <c r="L16" s="16">
        <v>180000</v>
      </c>
      <c r="M16" s="16">
        <v>0</v>
      </c>
      <c r="N16" s="17">
        <v>15000</v>
      </c>
      <c r="O16" s="12"/>
      <c r="P16" s="18">
        <f t="shared" si="0"/>
        <v>165000</v>
      </c>
      <c r="Q16" s="107"/>
    </row>
    <row r="17" spans="1:17" ht="15.6">
      <c r="A17" s="105"/>
      <c r="B17" s="93" t="s">
        <v>86</v>
      </c>
      <c r="C17" s="90">
        <v>75000</v>
      </c>
      <c r="D17" s="12">
        <v>47250</v>
      </c>
      <c r="E17" s="13">
        <v>0</v>
      </c>
      <c r="F17" s="14">
        <v>0</v>
      </c>
      <c r="G17" s="12">
        <v>27750</v>
      </c>
      <c r="H17" s="15"/>
      <c r="I17" s="12">
        <v>0</v>
      </c>
      <c r="J17" s="12">
        <v>0</v>
      </c>
      <c r="K17" s="13">
        <v>0</v>
      </c>
      <c r="L17" s="16">
        <v>150000</v>
      </c>
      <c r="M17" s="16">
        <v>0</v>
      </c>
      <c r="N17" s="17">
        <v>20000</v>
      </c>
      <c r="O17" s="12"/>
      <c r="P17" s="18">
        <f t="shared" si="0"/>
        <v>130000</v>
      </c>
      <c r="Q17" s="107"/>
    </row>
    <row r="18" spans="1:17" ht="15.6">
      <c r="A18" s="105"/>
      <c r="B18" s="93" t="s">
        <v>87</v>
      </c>
      <c r="C18" s="90">
        <v>75000</v>
      </c>
      <c r="D18" s="12">
        <v>47250</v>
      </c>
      <c r="E18" s="13">
        <v>0</v>
      </c>
      <c r="F18" s="14">
        <v>0</v>
      </c>
      <c r="G18" s="12">
        <v>27750</v>
      </c>
      <c r="H18" s="15"/>
      <c r="I18" s="12">
        <v>0</v>
      </c>
      <c r="J18" s="12">
        <v>0</v>
      </c>
      <c r="K18" s="13">
        <v>0</v>
      </c>
      <c r="L18" s="16">
        <v>150000</v>
      </c>
      <c r="M18" s="16">
        <v>0</v>
      </c>
      <c r="N18" s="17">
        <v>20000</v>
      </c>
      <c r="O18" s="12"/>
      <c r="P18" s="18">
        <f t="shared" si="0"/>
        <v>130000</v>
      </c>
      <c r="Q18" s="107"/>
    </row>
    <row r="19" spans="1:17" ht="15.6">
      <c r="A19" s="105"/>
      <c r="B19" s="93" t="s">
        <v>88</v>
      </c>
      <c r="C19" s="90">
        <v>75000</v>
      </c>
      <c r="D19" s="12">
        <v>47250</v>
      </c>
      <c r="E19" s="13">
        <v>0</v>
      </c>
      <c r="F19" s="14">
        <v>0</v>
      </c>
      <c r="G19" s="12">
        <v>27750</v>
      </c>
      <c r="H19" s="15"/>
      <c r="I19" s="12">
        <v>0</v>
      </c>
      <c r="J19" s="12">
        <v>0</v>
      </c>
      <c r="K19" s="13">
        <v>0</v>
      </c>
      <c r="L19" s="16">
        <v>150000</v>
      </c>
      <c r="M19" s="16">
        <v>0</v>
      </c>
      <c r="N19" s="17">
        <v>20000</v>
      </c>
      <c r="O19" s="12"/>
      <c r="P19" s="18">
        <f t="shared" si="0"/>
        <v>130000</v>
      </c>
      <c r="Q19" s="107"/>
    </row>
    <row r="20" spans="1:17" ht="15.6">
      <c r="A20" s="105"/>
      <c r="B20" s="93" t="s">
        <v>89</v>
      </c>
      <c r="C20" s="90">
        <v>75000</v>
      </c>
      <c r="D20" s="12">
        <v>47250</v>
      </c>
      <c r="E20" s="13">
        <v>0</v>
      </c>
      <c r="F20" s="14">
        <v>0</v>
      </c>
      <c r="G20" s="12">
        <v>27750</v>
      </c>
      <c r="H20" s="15"/>
      <c r="I20" s="12">
        <v>0</v>
      </c>
      <c r="J20" s="12">
        <v>0</v>
      </c>
      <c r="K20" s="13">
        <v>0</v>
      </c>
      <c r="L20" s="16">
        <v>150000</v>
      </c>
      <c r="M20" s="16">
        <v>0</v>
      </c>
      <c r="N20" s="17">
        <v>20000</v>
      </c>
      <c r="O20" s="12"/>
      <c r="P20" s="18">
        <f t="shared" si="0"/>
        <v>130000</v>
      </c>
      <c r="Q20" s="107"/>
    </row>
    <row r="21" spans="1:17" ht="15.6">
      <c r="A21" s="105"/>
      <c r="B21" s="93" t="s">
        <v>90</v>
      </c>
      <c r="C21" s="90">
        <v>75000</v>
      </c>
      <c r="D21" s="12">
        <v>47250</v>
      </c>
      <c r="E21" s="13">
        <v>0</v>
      </c>
      <c r="F21" s="14">
        <v>0</v>
      </c>
      <c r="G21" s="12">
        <v>27750</v>
      </c>
      <c r="H21" s="15"/>
      <c r="I21" s="12">
        <v>0</v>
      </c>
      <c r="J21" s="12">
        <v>0</v>
      </c>
      <c r="K21" s="13">
        <v>0</v>
      </c>
      <c r="L21" s="16">
        <v>150000</v>
      </c>
      <c r="M21" s="16">
        <v>0</v>
      </c>
      <c r="N21" s="17">
        <v>20000</v>
      </c>
      <c r="O21" s="12"/>
      <c r="P21" s="18">
        <f t="shared" si="0"/>
        <v>130000</v>
      </c>
      <c r="Q21" s="107"/>
    </row>
    <row r="22" spans="1:17" ht="15.6">
      <c r="A22" s="105"/>
      <c r="B22" s="93" t="s">
        <v>91</v>
      </c>
      <c r="C22" s="90">
        <v>75000</v>
      </c>
      <c r="D22" s="12">
        <v>47250</v>
      </c>
      <c r="E22" s="13">
        <v>0</v>
      </c>
      <c r="F22" s="14">
        <v>0</v>
      </c>
      <c r="G22" s="12">
        <v>27750</v>
      </c>
      <c r="H22" s="15"/>
      <c r="I22" s="12">
        <v>0</v>
      </c>
      <c r="J22" s="12">
        <v>0</v>
      </c>
      <c r="K22" s="13">
        <v>0</v>
      </c>
      <c r="L22" s="16">
        <v>150000</v>
      </c>
      <c r="M22" s="16">
        <v>0</v>
      </c>
      <c r="N22" s="17">
        <v>20000</v>
      </c>
      <c r="O22" s="12"/>
      <c r="P22" s="18">
        <f t="shared" si="0"/>
        <v>130000</v>
      </c>
      <c r="Q22" s="107"/>
    </row>
    <row r="23" spans="1:17" ht="15.6">
      <c r="A23" s="105"/>
      <c r="B23" s="93" t="s">
        <v>92</v>
      </c>
      <c r="C23" s="90">
        <v>75000</v>
      </c>
      <c r="D23" s="12">
        <v>47250</v>
      </c>
      <c r="E23" s="13">
        <v>0</v>
      </c>
      <c r="F23" s="14">
        <v>0</v>
      </c>
      <c r="G23" s="12">
        <v>27750</v>
      </c>
      <c r="H23" s="15"/>
      <c r="I23" s="12">
        <v>0</v>
      </c>
      <c r="J23" s="12">
        <v>0</v>
      </c>
      <c r="K23" s="13">
        <v>0</v>
      </c>
      <c r="L23" s="16">
        <v>150000</v>
      </c>
      <c r="M23" s="16">
        <v>0</v>
      </c>
      <c r="N23" s="17">
        <v>30000</v>
      </c>
      <c r="O23" s="12"/>
      <c r="P23" s="18">
        <f t="shared" si="0"/>
        <v>120000</v>
      </c>
      <c r="Q23" s="107"/>
    </row>
    <row r="24" spans="1:17" ht="16.2" thickBot="1">
      <c r="A24" s="105"/>
      <c r="B24" s="94" t="s">
        <v>93</v>
      </c>
      <c r="C24" s="90">
        <v>75000</v>
      </c>
      <c r="D24" s="82">
        <v>47250</v>
      </c>
      <c r="E24" s="83">
        <v>0</v>
      </c>
      <c r="F24" s="84">
        <v>0</v>
      </c>
      <c r="G24" s="82">
        <v>27750</v>
      </c>
      <c r="H24" s="85"/>
      <c r="I24" s="82">
        <v>0</v>
      </c>
      <c r="J24" s="82">
        <v>0</v>
      </c>
      <c r="K24" s="83">
        <v>0</v>
      </c>
      <c r="L24" s="86">
        <v>150000</v>
      </c>
      <c r="M24" s="86">
        <v>0</v>
      </c>
      <c r="N24" s="87">
        <v>35000</v>
      </c>
      <c r="O24" s="82"/>
      <c r="P24" s="88">
        <f t="shared" si="0"/>
        <v>115000</v>
      </c>
      <c r="Q24" s="107"/>
    </row>
    <row r="25" spans="1:17" ht="16.2" thickBot="1">
      <c r="A25" s="105"/>
      <c r="B25" s="95" t="s">
        <v>25</v>
      </c>
      <c r="C25" s="91">
        <f t="shared" ref="C25:N25" si="1">SUM(C13:C24)</f>
        <v>877500</v>
      </c>
      <c r="D25" s="72">
        <f t="shared" si="1"/>
        <v>567000</v>
      </c>
      <c r="E25" s="11">
        <f>SUM(E13:E24)</f>
        <v>0</v>
      </c>
      <c r="F25" s="72">
        <f t="shared" si="1"/>
        <v>0</v>
      </c>
      <c r="G25" s="72">
        <f t="shared" si="1"/>
        <v>310500</v>
      </c>
      <c r="H25" s="72">
        <f t="shared" si="1"/>
        <v>0</v>
      </c>
      <c r="I25" s="72">
        <f t="shared" si="1"/>
        <v>0</v>
      </c>
      <c r="J25" s="72">
        <f t="shared" si="1"/>
        <v>30000</v>
      </c>
      <c r="K25" s="72">
        <f>SUM(K13:K24)</f>
        <v>0</v>
      </c>
      <c r="L25" s="72">
        <f t="shared" si="1"/>
        <v>1785000</v>
      </c>
      <c r="M25" s="72">
        <f t="shared" si="1"/>
        <v>0</v>
      </c>
      <c r="N25" s="73">
        <f t="shared" si="1"/>
        <v>230000</v>
      </c>
      <c r="O25" s="72">
        <f t="shared" ref="O25" si="2">SUM(O13:O24)</f>
        <v>0</v>
      </c>
      <c r="P25" s="74">
        <f>SUM(P13:P24)</f>
        <v>1555000</v>
      </c>
      <c r="Q25" s="107"/>
    </row>
    <row r="26" spans="1:17" ht="16.2" thickBot="1">
      <c r="A26" s="105"/>
      <c r="B26" s="108" t="s">
        <v>26</v>
      </c>
      <c r="C26" s="109"/>
      <c r="D26" s="109"/>
      <c r="E26" s="110"/>
      <c r="F26" s="108" t="s">
        <v>95</v>
      </c>
      <c r="G26" s="109"/>
      <c r="H26" s="109"/>
      <c r="I26" s="109"/>
      <c r="J26" s="109"/>
      <c r="K26" s="109"/>
      <c r="L26" s="109"/>
      <c r="M26" s="109"/>
      <c r="N26" s="109"/>
      <c r="O26" s="111"/>
      <c r="P26" s="112"/>
      <c r="Q26" s="107"/>
    </row>
    <row r="27" spans="1:17">
      <c r="A27" s="105"/>
      <c r="B27" s="19" t="s">
        <v>27</v>
      </c>
      <c r="C27" s="20"/>
      <c r="D27" s="20"/>
      <c r="E27" s="21"/>
      <c r="F27" s="22" t="s">
        <v>28</v>
      </c>
      <c r="G27" s="23"/>
      <c r="H27" s="24"/>
      <c r="I27" s="24"/>
      <c r="J27" s="25"/>
      <c r="K27" s="26">
        <v>877500</v>
      </c>
      <c r="L27" s="27" t="s">
        <v>27</v>
      </c>
      <c r="M27" s="23"/>
      <c r="N27" s="28"/>
      <c r="O27" s="28"/>
      <c r="P27" s="29"/>
      <c r="Q27" s="107"/>
    </row>
    <row r="28" spans="1:17">
      <c r="A28" s="105"/>
      <c r="B28" s="30" t="s">
        <v>29</v>
      </c>
      <c r="C28" s="23"/>
      <c r="D28" s="28"/>
      <c r="E28" s="31"/>
      <c r="F28" s="22" t="s">
        <v>30</v>
      </c>
      <c r="G28" s="23"/>
      <c r="H28" s="24"/>
      <c r="I28" s="24"/>
      <c r="J28" s="25">
        <v>567000</v>
      </c>
      <c r="K28" s="26"/>
      <c r="L28" s="22" t="s">
        <v>31</v>
      </c>
      <c r="M28" s="22"/>
      <c r="N28" s="22"/>
      <c r="O28" s="32"/>
      <c r="P28" s="33"/>
      <c r="Q28" s="107"/>
    </row>
    <row r="29" spans="1:17">
      <c r="A29" s="105"/>
      <c r="B29" s="30" t="s">
        <v>73</v>
      </c>
      <c r="C29" s="23"/>
      <c r="D29" s="28"/>
      <c r="E29" s="31"/>
      <c r="F29" s="34" t="s">
        <v>32</v>
      </c>
      <c r="G29" s="23"/>
      <c r="H29" s="24"/>
      <c r="I29" s="24"/>
      <c r="J29" s="35">
        <v>0</v>
      </c>
      <c r="K29" s="26">
        <v>567000</v>
      </c>
      <c r="L29" s="22" t="s">
        <v>33</v>
      </c>
      <c r="M29" s="23"/>
      <c r="N29" s="36"/>
      <c r="O29" s="37"/>
      <c r="P29" s="33"/>
      <c r="Q29" s="107"/>
    </row>
    <row r="30" spans="1:17">
      <c r="A30" s="105"/>
      <c r="B30" s="30" t="s">
        <v>34</v>
      </c>
      <c r="C30" s="23"/>
      <c r="D30" s="28"/>
      <c r="E30" s="31"/>
      <c r="F30" s="22" t="s">
        <v>35</v>
      </c>
      <c r="G30" s="23"/>
      <c r="H30" s="24"/>
      <c r="I30" s="24"/>
      <c r="J30" s="25">
        <v>310500</v>
      </c>
      <c r="K30" s="26"/>
      <c r="L30" s="30" t="s">
        <v>36</v>
      </c>
      <c r="M30" s="38"/>
      <c r="N30" s="38"/>
      <c r="O30" s="25"/>
      <c r="P30" s="39">
        <v>0</v>
      </c>
      <c r="Q30" s="107"/>
    </row>
    <row r="31" spans="1:17">
      <c r="A31" s="105"/>
      <c r="B31" s="30" t="s">
        <v>37</v>
      </c>
      <c r="C31" s="23"/>
      <c r="D31" s="28"/>
      <c r="E31" s="31"/>
      <c r="F31" s="34" t="s">
        <v>32</v>
      </c>
      <c r="G31" s="23"/>
      <c r="H31" s="24"/>
      <c r="I31" s="24"/>
      <c r="J31" s="35">
        <v>0</v>
      </c>
      <c r="K31" s="26">
        <v>310500</v>
      </c>
      <c r="L31" s="30" t="s">
        <v>38</v>
      </c>
      <c r="M31" s="38"/>
      <c r="N31" s="38"/>
      <c r="O31" s="40"/>
      <c r="P31" s="33">
        <v>1785000</v>
      </c>
      <c r="Q31" s="107"/>
    </row>
    <row r="32" spans="1:17">
      <c r="A32" s="105"/>
      <c r="B32" s="30" t="s">
        <v>39</v>
      </c>
      <c r="C32" s="23"/>
      <c r="D32" s="28"/>
      <c r="E32" s="31"/>
      <c r="F32" s="22" t="s">
        <v>40</v>
      </c>
      <c r="G32" s="23"/>
      <c r="H32" s="24"/>
      <c r="I32" s="24"/>
      <c r="J32" s="25"/>
      <c r="K32" s="26">
        <v>0</v>
      </c>
      <c r="L32" s="30" t="s">
        <v>71</v>
      </c>
      <c r="M32" s="38"/>
      <c r="N32" s="38"/>
      <c r="O32" s="28"/>
      <c r="P32" s="41">
        <v>1785000</v>
      </c>
      <c r="Q32" s="107"/>
    </row>
    <row r="33" spans="1:18">
      <c r="A33" s="105"/>
      <c r="B33" s="30" t="s">
        <v>62</v>
      </c>
      <c r="C33" s="23"/>
      <c r="D33" s="28"/>
      <c r="E33" s="31"/>
      <c r="F33" s="22" t="s">
        <v>41</v>
      </c>
      <c r="G33" s="23"/>
      <c r="H33" s="24"/>
      <c r="I33" s="24"/>
      <c r="J33" s="25"/>
      <c r="K33" s="26">
        <v>0</v>
      </c>
      <c r="L33" s="42" t="s">
        <v>42</v>
      </c>
      <c r="M33" s="43"/>
      <c r="N33" s="43"/>
      <c r="O33" s="25"/>
      <c r="P33" s="44">
        <v>0</v>
      </c>
      <c r="Q33" s="107"/>
    </row>
    <row r="34" spans="1:18">
      <c r="A34" s="105"/>
      <c r="B34" s="30" t="s">
        <v>43</v>
      </c>
      <c r="C34" s="23"/>
      <c r="D34" s="28"/>
      <c r="E34" s="31"/>
      <c r="F34" s="22" t="s">
        <v>44</v>
      </c>
      <c r="G34" s="23"/>
      <c r="H34" s="24"/>
      <c r="I34" s="24"/>
      <c r="J34" s="25"/>
      <c r="K34" s="26">
        <v>30000</v>
      </c>
      <c r="L34" s="22" t="s">
        <v>45</v>
      </c>
      <c r="M34" s="45"/>
      <c r="N34" s="45"/>
      <c r="O34" s="25"/>
      <c r="P34" s="44">
        <v>0</v>
      </c>
      <c r="Q34" s="107"/>
    </row>
    <row r="35" spans="1:18">
      <c r="A35" s="105"/>
      <c r="B35" s="30" t="s">
        <v>63</v>
      </c>
      <c r="C35" s="23"/>
      <c r="D35" s="28"/>
      <c r="E35" s="31"/>
      <c r="F35" s="22" t="s">
        <v>75</v>
      </c>
      <c r="G35" s="23"/>
      <c r="H35" s="24"/>
      <c r="I35" s="24"/>
      <c r="J35" s="25"/>
      <c r="K35" s="26">
        <v>0</v>
      </c>
      <c r="L35" s="22" t="s">
        <v>64</v>
      </c>
      <c r="M35" s="45"/>
      <c r="N35" s="45"/>
      <c r="O35" s="25"/>
      <c r="P35" s="44">
        <v>0</v>
      </c>
      <c r="Q35" s="107"/>
    </row>
    <row r="36" spans="1:18">
      <c r="A36" s="105"/>
      <c r="B36" s="30" t="s">
        <v>46</v>
      </c>
      <c r="C36" s="23"/>
      <c r="D36" s="46"/>
      <c r="E36" s="31"/>
      <c r="F36" s="22" t="s">
        <v>76</v>
      </c>
      <c r="G36" s="23"/>
      <c r="H36" s="24"/>
      <c r="I36" s="24"/>
      <c r="J36" s="25"/>
      <c r="K36" s="47">
        <v>0</v>
      </c>
      <c r="L36" s="22" t="s">
        <v>74</v>
      </c>
      <c r="M36" s="23"/>
      <c r="N36" s="24"/>
      <c r="O36" s="25"/>
      <c r="P36" s="48">
        <v>0</v>
      </c>
      <c r="Q36" s="107"/>
    </row>
    <row r="37" spans="1:18" ht="21">
      <c r="A37" s="105"/>
      <c r="B37" s="22" t="s">
        <v>25</v>
      </c>
      <c r="C37" s="23"/>
      <c r="D37" s="28"/>
      <c r="E37" s="49"/>
      <c r="F37" s="50" t="s">
        <v>47</v>
      </c>
      <c r="G37" s="51"/>
      <c r="H37" s="52"/>
      <c r="I37" s="52"/>
      <c r="J37" s="25"/>
      <c r="K37" s="26">
        <v>1785000</v>
      </c>
      <c r="L37" s="53" t="s">
        <v>48</v>
      </c>
      <c r="M37" s="43"/>
      <c r="N37" s="43"/>
      <c r="O37" s="25"/>
      <c r="P37" s="54">
        <v>0</v>
      </c>
      <c r="Q37" s="107"/>
    </row>
    <row r="38" spans="1:18" ht="15" thickBot="1">
      <c r="A38" s="105"/>
      <c r="B38" s="19" t="s">
        <v>49</v>
      </c>
      <c r="C38" s="20"/>
      <c r="D38" s="20"/>
      <c r="E38" s="21"/>
      <c r="F38" s="22" t="s">
        <v>50</v>
      </c>
      <c r="G38" s="23"/>
      <c r="H38" s="28"/>
      <c r="I38" s="24"/>
      <c r="J38" s="55"/>
      <c r="K38" s="48"/>
      <c r="L38" s="22" t="s">
        <v>51</v>
      </c>
      <c r="M38" s="23"/>
      <c r="N38" s="23"/>
      <c r="O38" s="25"/>
      <c r="P38" s="48">
        <v>230000</v>
      </c>
      <c r="Q38" s="107"/>
      <c r="R38" s="1"/>
    </row>
    <row r="39" spans="1:18">
      <c r="A39" s="105"/>
      <c r="B39" s="56"/>
      <c r="C39" s="23"/>
      <c r="D39" s="100" t="s">
        <v>59</v>
      </c>
      <c r="E39" s="101" t="s">
        <v>52</v>
      </c>
      <c r="F39" s="23"/>
      <c r="G39" s="57" t="s">
        <v>53</v>
      </c>
      <c r="H39" s="28"/>
      <c r="I39" s="58"/>
      <c r="J39" s="59"/>
      <c r="K39" s="41"/>
      <c r="L39" s="22" t="s">
        <v>54</v>
      </c>
      <c r="M39" s="23"/>
      <c r="N39" s="23"/>
      <c r="O39" s="25"/>
      <c r="P39" s="33">
        <f>+P37-P38</f>
        <v>-230000</v>
      </c>
      <c r="Q39" s="107"/>
    </row>
    <row r="40" spans="1:18">
      <c r="A40" s="105"/>
      <c r="B40" s="22" t="s">
        <v>55</v>
      </c>
      <c r="C40" s="20"/>
      <c r="D40" s="96"/>
      <c r="E40" s="97"/>
      <c r="F40" s="23" t="s">
        <v>56</v>
      </c>
      <c r="G40" s="23"/>
      <c r="H40" s="24"/>
      <c r="I40" s="24"/>
      <c r="J40" s="25"/>
      <c r="K40" s="60"/>
      <c r="L40" s="22" t="s">
        <v>57</v>
      </c>
      <c r="M40" s="23"/>
      <c r="N40" s="23"/>
      <c r="O40" s="25"/>
      <c r="P40" s="61">
        <v>12</v>
      </c>
      <c r="Q40" s="107"/>
    </row>
    <row r="41" spans="1:18" ht="15" thickBot="1">
      <c r="A41" s="105"/>
      <c r="B41" s="62" t="s">
        <v>58</v>
      </c>
      <c r="C41" s="63"/>
      <c r="D41" s="98"/>
      <c r="E41" s="99"/>
      <c r="F41" s="64" t="s">
        <v>60</v>
      </c>
      <c r="G41" s="64"/>
      <c r="H41" s="64"/>
      <c r="I41" s="65"/>
      <c r="J41" s="66"/>
      <c r="K41" s="67">
        <v>1785000</v>
      </c>
      <c r="L41" s="62" t="s">
        <v>61</v>
      </c>
      <c r="M41" s="68"/>
      <c r="N41" s="68"/>
      <c r="O41" s="66"/>
      <c r="P41" s="69">
        <f>P39/P40</f>
        <v>-19166.666666666668</v>
      </c>
      <c r="Q41" s="107"/>
    </row>
    <row r="42" spans="1:18">
      <c r="A42" s="105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</row>
  </sheetData>
  <mergeCells count="35">
    <mergeCell ref="B3:P3"/>
    <mergeCell ref="D4:G4"/>
    <mergeCell ref="J4:L4"/>
    <mergeCell ref="D5:G5"/>
    <mergeCell ref="D6:G6"/>
    <mergeCell ref="J6:L6"/>
    <mergeCell ref="K5:L5"/>
    <mergeCell ref="O9:O12"/>
    <mergeCell ref="P9:P12"/>
    <mergeCell ref="D7:L7"/>
    <mergeCell ref="M7:N7"/>
    <mergeCell ref="O7:P7"/>
    <mergeCell ref="B8:P8"/>
    <mergeCell ref="B9:B12"/>
    <mergeCell ref="C9:C12"/>
    <mergeCell ref="D9:F9"/>
    <mergeCell ref="G9:H10"/>
    <mergeCell ref="I9:I12"/>
    <mergeCell ref="J9:J12"/>
    <mergeCell ref="C2:P2"/>
    <mergeCell ref="A1:Q1"/>
    <mergeCell ref="A2:A42"/>
    <mergeCell ref="B42:Q42"/>
    <mergeCell ref="Q2:Q41"/>
    <mergeCell ref="B26:E26"/>
    <mergeCell ref="F26:P26"/>
    <mergeCell ref="D10:D12"/>
    <mergeCell ref="E10:E12"/>
    <mergeCell ref="F10:F12"/>
    <mergeCell ref="G11:G12"/>
    <mergeCell ref="H11:H12"/>
    <mergeCell ref="K9:K12"/>
    <mergeCell ref="L9:L12"/>
    <mergeCell ref="M9:M12"/>
    <mergeCell ref="N9:N12"/>
  </mergeCells>
  <dataValidations count="1">
    <dataValidation type="list" allowBlank="1" showInputMessage="1" showErrorMessage="1" sqref="P4">
      <formula1>$AC5:$AC6</formula1>
    </dataValidation>
  </dataValidations>
  <pageMargins left="0.11811023622047245" right="0.11811023622047245" top="0.15748031496062992" bottom="0.15748031496062992" header="0.19685039370078741" footer="0.11811023622047245"/>
  <pageSetup scale="68" orientation="landscape" r:id="rId1"/>
  <legacyDrawing r:id="rId2"/>
  <extLst xmlns:x14="http://schemas.microsoft.com/office/spreadsheetml/2009/9/main">
    <ext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Sheet1!$B:$B</xm:f>
          </x14:formula1>
          <xm:sqref>P5</xm:sqref>
        </x14:dataValidation>
        <x14:dataValidation type="list" allowBlank="1" showInputMessage="1" showErrorMessage="1">
          <x14:formula1>
            <xm:f>Sheet1!$A:$A</xm:f>
          </x14:formula1>
          <xm:sqref>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C4" sqref="C4"/>
    </sheetView>
  </sheetViews>
  <sheetFormatPr defaultRowHeight="14.4"/>
  <sheetData>
    <row r="1" spans="1:2">
      <c r="A1" t="s">
        <v>72</v>
      </c>
      <c r="B1" t="s">
        <v>80</v>
      </c>
    </row>
    <row r="2" spans="1:2">
      <c r="A2" t="s">
        <v>66</v>
      </c>
      <c r="B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</dc:creator>
  <cp:keywords>INCOMETAX;DIVYANSHU</cp:keywords>
  <cp:lastModifiedBy>himanshu</cp:lastModifiedBy>
  <cp:lastPrinted>2017-05-03T07:35:25Z</cp:lastPrinted>
  <dcterms:created xsi:type="dcterms:W3CDTF">2017-04-12T07:32:39Z</dcterms:created>
  <dcterms:modified xsi:type="dcterms:W3CDTF">2024-09-05T11:20:25Z</dcterms:modified>
</cp:coreProperties>
</file>